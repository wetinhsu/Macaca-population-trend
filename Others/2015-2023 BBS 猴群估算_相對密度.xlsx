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\test\Macaca-population-trend\Others\"/>
    </mc:Choice>
  </mc:AlternateContent>
  <xr:revisionPtr revIDLastSave="0" documentId="13_ncr:1_{0854363A-8715-447D-9FED-F08496D70B0C}" xr6:coauthVersionLast="47" xr6:coauthVersionMax="47" xr10:uidLastSave="{00000000-0000-0000-0000-000000000000}"/>
  <bookViews>
    <workbookView xWindow="-120" yWindow="-120" windowWidth="29040" windowHeight="15720" xr2:uid="{85381ABA-1DE3-4BB1-8B8E-AE476ED793F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19" i="1"/>
  <c r="F20" i="1"/>
  <c r="F21" i="1"/>
  <c r="F22" i="1"/>
  <c r="F23" i="1"/>
  <c r="F24" i="1"/>
  <c r="F25" i="1"/>
  <c r="F26" i="1"/>
  <c r="F27" i="1"/>
  <c r="F19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3" i="1"/>
</calcChain>
</file>

<file path=xl/sharedStrings.xml><?xml version="1.0" encoding="utf-8"?>
<sst xmlns="http://schemas.openxmlformats.org/spreadsheetml/2006/main" count="6" uniqueCount="5">
  <si>
    <t>年</t>
  </si>
  <si>
    <t>群數</t>
  </si>
  <si>
    <t>相對密度</t>
    <phoneticPr fontId="2" type="noConversion"/>
  </si>
  <si>
    <t>LCI</t>
    <phoneticPr fontId="2" type="noConversion"/>
  </si>
  <si>
    <t>UCI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</si>
</sst>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芫荽 0.94"/>
      <family val="2"/>
      <charset val="136"/>
    </font>
    <font>
      <sz val="11"/>
      <color rgb="FF000000"/>
      <name val="Arial"/>
      <family val="2"/>
    </font>
    <font>
      <sz val="9"/>
      <name val="芫荽 0.94"/>
      <family val="2"/>
      <charset val="136"/>
    </font>
    <font>
      <sz val="14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工作表1!$F$19:$F$27</c:f>
                <c:numCache>
                  <c:formatCode>General</c:formatCode>
                  <c:ptCount val="9"/>
                  <c:pt idx="0">
                    <c:v>4.6522990256288085E-3</c:v>
                  </c:pt>
                  <c:pt idx="1">
                    <c:v>4.6298891073936026E-3</c:v>
                  </c:pt>
                  <c:pt idx="2">
                    <c:v>4.1308949280230121E-3</c:v>
                  </c:pt>
                  <c:pt idx="3">
                    <c:v>5.0482075811174518E-3</c:v>
                  </c:pt>
                  <c:pt idx="4">
                    <c:v>5.4321641802139824E-3</c:v>
                  </c:pt>
                  <c:pt idx="5">
                    <c:v>5.0302796465292871E-3</c:v>
                  </c:pt>
                  <c:pt idx="6">
                    <c:v>5.3798743709985025E-3</c:v>
                  </c:pt>
                  <c:pt idx="7">
                    <c:v>5.3873443437435706E-3</c:v>
                  </c:pt>
                  <c:pt idx="8">
                    <c:v>4.8599642679417188E-3</c:v>
                  </c:pt>
                </c:numCache>
              </c:numRef>
            </c:plus>
            <c:minus>
              <c:numRef>
                <c:f>工作表1!$E$19:$E$27</c:f>
                <c:numCache>
                  <c:formatCode>General</c:formatCode>
                  <c:ptCount val="9"/>
                  <c:pt idx="0">
                    <c:v>4.332584192139867E-3</c:v>
                  </c:pt>
                  <c:pt idx="1">
                    <c:v>4.1667507971993398E-3</c:v>
                  </c:pt>
                  <c:pt idx="2">
                    <c:v>3.7887701762988621E-3</c:v>
                  </c:pt>
                  <c:pt idx="3">
                    <c:v>4.7927345132361011E-3</c:v>
                  </c:pt>
                  <c:pt idx="4">
                    <c:v>5.022809673784219E-3</c:v>
                  </c:pt>
                  <c:pt idx="5">
                    <c:v>4.7673366059028666E-3</c:v>
                  </c:pt>
                  <c:pt idx="6">
                    <c:v>5.0257976628822476E-3</c:v>
                  </c:pt>
                  <c:pt idx="7">
                    <c:v>5.1378472540582788E-3</c:v>
                  </c:pt>
                  <c:pt idx="8">
                    <c:v>4.5850692709231908E-3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工作表1!$A$19:$A$27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工作表1!$B$19:$B$27</c:f>
              <c:numCache>
                <c:formatCode>General</c:formatCode>
                <c:ptCount val="9"/>
                <c:pt idx="0">
                  <c:v>1.5314938121939922E-2</c:v>
                </c:pt>
                <c:pt idx="1">
                  <c:v>1.4723316280530478E-2</c:v>
                </c:pt>
                <c:pt idx="2">
                  <c:v>1.0952474038819779E-2</c:v>
                </c:pt>
                <c:pt idx="3">
                  <c:v>1.8704811753652115E-2</c:v>
                </c:pt>
                <c:pt idx="4">
                  <c:v>2.0162950433489531E-2</c:v>
                </c:pt>
                <c:pt idx="5">
                  <c:v>2.0886043795212184E-2</c:v>
                </c:pt>
                <c:pt idx="6">
                  <c:v>2.2145481200030775E-2</c:v>
                </c:pt>
                <c:pt idx="7">
                  <c:v>2.5622006515585764E-2</c:v>
                </c:pt>
                <c:pt idx="8">
                  <c:v>2.3203229340732507E-2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6-4BEE-99DC-71B60E374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595024"/>
        <c:axId val="1514774560"/>
      </c:lineChart>
      <c:catAx>
        <c:axId val="154259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14774560"/>
        <c:crosses val="autoZero"/>
        <c:auto val="1"/>
        <c:lblAlgn val="ctr"/>
        <c:lblOffset val="100"/>
        <c:tickMarkSkip val="1"/>
        <c:noMultiLvlLbl val="0"/>
      </c:catAx>
      <c:valAx>
        <c:axId val="15147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Times New Roman" panose="02020603050405020304" pitchFamily="18" charset="0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相對密度 </a:t>
                </a:r>
                <a:r>
                  <a:rPr lang="en-US" altLang="zh-TW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</a:t>
                </a: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群</a:t>
                </a:r>
                <a:r>
                  <a:rPr lang="en-US" altLang="zh-TW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/</a:t>
                </a: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樣點</a:t>
                </a:r>
                <a:r>
                  <a:rPr lang="en-US" altLang="zh-TW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5080111608658043E-2"/>
              <c:y val="0.29458253841617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Times New Roman" panose="02020603050405020304" pitchFamily="18" charset="0"/>
                </a:defRPr>
              </a:pPr>
              <a:endParaRPr lang="zh-TW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4259502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147636</xdr:colOff>
      <xdr:row>16</xdr:row>
      <xdr:rowOff>152400</xdr:rowOff>
    </xdr:from>
    <xdr:to>
      <xdr:col>12</xdr:col>
      <xdr:colOff>628649</xdr:colOff>
      <xdr:row>32</xdr:row>
      <xdr:rowOff>209550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C5396E8-D3D8-FC95-6549-9802F8629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988A-2CD7-4284-9D9B-5F3F5E3367A6}">
  <dimension ref="A2:F27"/>
  <sheetViews>
    <sheetView tabSelected="1" topLeftCell="A13" workbookViewId="0">
      <selection activeCell="P26" sqref="P26"/>
    </sheetView>
  </sheetViews>
  <sheetFormatPr defaultRowHeight="21"/>
  <sheetData>
    <row r="2" spans="1:6">
      <c r="A2" s="1" t="s">
        <v>0</v>
      </c>
      <c r="B2" s="1" t="s">
        <v>1</v>
      </c>
      <c r="F2" s="3"/>
    </row>
    <row r="3" spans="1:6">
      <c r="A3" s="1">
        <v>2015</v>
      </c>
      <c r="B3" s="2">
        <v>10251</v>
      </c>
      <c r="D3">
        <f>21028.14/(0.1*0.1*PI())</f>
        <v>669346.48500568152</v>
      </c>
    </row>
    <row r="4" spans="1:6">
      <c r="A4" s="1">
        <v>2016</v>
      </c>
      <c r="B4" s="2">
        <v>9855</v>
      </c>
    </row>
    <row r="5" spans="1:6">
      <c r="A5" s="1">
        <v>2017</v>
      </c>
      <c r="B5" s="2">
        <v>7331</v>
      </c>
    </row>
    <row r="6" spans="1:6">
      <c r="A6" s="1">
        <v>2018</v>
      </c>
      <c r="B6" s="2">
        <v>12520</v>
      </c>
    </row>
    <row r="7" spans="1:6">
      <c r="A7" s="1">
        <v>2019</v>
      </c>
      <c r="B7" s="2">
        <v>13496</v>
      </c>
    </row>
    <row r="8" spans="1:6">
      <c r="A8" s="1">
        <v>2020</v>
      </c>
      <c r="B8" s="2">
        <v>13980</v>
      </c>
    </row>
    <row r="9" spans="1:6">
      <c r="A9" s="1">
        <v>2021</v>
      </c>
      <c r="B9" s="2">
        <v>14823</v>
      </c>
    </row>
    <row r="10" spans="1:6">
      <c r="A10" s="1">
        <v>2022</v>
      </c>
      <c r="B10" s="2">
        <v>17150</v>
      </c>
    </row>
    <row r="11" spans="1:6">
      <c r="A11" s="1">
        <v>2023</v>
      </c>
      <c r="B11" s="2">
        <v>15531</v>
      </c>
    </row>
    <row r="18" spans="1:6">
      <c r="A18" s="1" t="s">
        <v>0</v>
      </c>
      <c r="B18" s="3" t="s">
        <v>2</v>
      </c>
      <c r="C18" s="1" t="s">
        <v>3</v>
      </c>
      <c r="D18" s="1" t="s">
        <v>4</v>
      </c>
    </row>
    <row r="19" spans="1:6">
      <c r="A19" s="1">
        <v>2015</v>
      </c>
      <c r="B19">
        <f>10251/(21028.14/(0.1*0.1*PI()))</f>
        <v>1.5314938121939922E-2</v>
      </c>
      <c r="C19">
        <f>7351/(21028.14/(0.1*0.1*PI()))</f>
        <v>1.0982353929800055E-2</v>
      </c>
      <c r="D19">
        <f>13365/(21028.14/(0.1*0.1*PI()))</f>
        <v>1.996723714756873E-2</v>
      </c>
      <c r="E19">
        <f>B19-C19</f>
        <v>4.332584192139867E-3</v>
      </c>
      <c r="F19">
        <f>D19-B19</f>
        <v>4.6522990256288085E-3</v>
      </c>
    </row>
    <row r="20" spans="1:6">
      <c r="A20" s="1">
        <v>2016</v>
      </c>
      <c r="B20">
        <f>9855/(21028.14/(0.1*0.1*PI()))</f>
        <v>1.4723316280530478E-2</v>
      </c>
      <c r="C20">
        <f>7066/(21028.14/(0.1*0.1*PI()))</f>
        <v>1.0556565483331138E-2</v>
      </c>
      <c r="D20">
        <f>12954/(21028.14/(0.1*0.1*PI()))</f>
        <v>1.935320538792408E-2</v>
      </c>
      <c r="E20">
        <f t="shared" ref="E20:E27" si="0">B20-C20</f>
        <v>4.1667507971993398E-3</v>
      </c>
      <c r="F20">
        <f t="shared" ref="F20:F27" si="1">D20-B20</f>
        <v>4.6298891073936026E-3</v>
      </c>
    </row>
    <row r="21" spans="1:6">
      <c r="A21" s="1">
        <v>2017</v>
      </c>
      <c r="B21">
        <f>7331/(21028.14/(0.1*0.1*PI()))</f>
        <v>1.0952474038819779E-2</v>
      </c>
      <c r="C21">
        <f>4795/(21028.14/(0.1*0.1*PI()))</f>
        <v>7.1637038625209171E-3</v>
      </c>
      <c r="D21">
        <f>10096/(21028.14/(0.1*0.1*PI()))</f>
        <v>1.5083368966842791E-2</v>
      </c>
      <c r="E21">
        <f t="shared" si="0"/>
        <v>3.7887701762988621E-3</v>
      </c>
      <c r="F21">
        <f t="shared" si="1"/>
        <v>4.1308949280230121E-3</v>
      </c>
    </row>
    <row r="22" spans="1:6">
      <c r="A22" s="1">
        <v>2018</v>
      </c>
      <c r="B22">
        <f>12520/(21028.14/(0.1*0.1*PI()))</f>
        <v>1.8704811753652115E-2</v>
      </c>
      <c r="C22">
        <f>9312/(21028.14/(0.1*0.1*PI()))</f>
        <v>1.3912077240416014E-2</v>
      </c>
      <c r="D22">
        <f>15899/(21028.14/(0.1*0.1*PI()))</f>
        <v>2.3753019334769566E-2</v>
      </c>
      <c r="E22">
        <f t="shared" si="0"/>
        <v>4.7927345132361011E-3</v>
      </c>
      <c r="F22">
        <f t="shared" si="1"/>
        <v>5.0482075811174518E-3</v>
      </c>
    </row>
    <row r="23" spans="1:6">
      <c r="A23" s="1">
        <v>2019</v>
      </c>
      <c r="B23">
        <f>13496/(21028.14/(0.1*0.1*PI()))</f>
        <v>2.0162950433489531E-2</v>
      </c>
      <c r="C23">
        <f>10134/(21028.14/(0.1*0.1*PI()))</f>
        <v>1.5140140759705312E-2</v>
      </c>
      <c r="D23">
        <f>17132/(21028.14/(0.1*0.1*PI()))</f>
        <v>2.5595114613703514E-2</v>
      </c>
      <c r="E23">
        <f t="shared" si="0"/>
        <v>5.022809673784219E-3</v>
      </c>
      <c r="F23">
        <f t="shared" si="1"/>
        <v>5.4321641802139824E-3</v>
      </c>
    </row>
    <row r="24" spans="1:6">
      <c r="A24" s="1">
        <v>2020</v>
      </c>
      <c r="B24">
        <f>13980/(21028.14/(0.1*0.1*PI()))</f>
        <v>2.0886043795212184E-2</v>
      </c>
      <c r="C24">
        <f>10789/(21028.14/(0.1*0.1*PI()))</f>
        <v>1.6118707189309318E-2</v>
      </c>
      <c r="D24">
        <f>17347/(21028.14/(0.1*0.1*PI()))</f>
        <v>2.5916323441741471E-2</v>
      </c>
      <c r="E24">
        <f t="shared" si="0"/>
        <v>4.7673366059028666E-3</v>
      </c>
      <c r="F24">
        <f t="shared" si="1"/>
        <v>5.0302796465292871E-3</v>
      </c>
    </row>
    <row r="25" spans="1:6">
      <c r="A25" s="1">
        <v>2021</v>
      </c>
      <c r="B25">
        <f>14823/(21028.14/(0.1*0.1*PI()))</f>
        <v>2.2145481200030775E-2</v>
      </c>
      <c r="C25">
        <f>11459/(21028.14/(0.1*0.1*PI()))</f>
        <v>1.7119683537148527E-2</v>
      </c>
      <c r="D25">
        <f>18424/(21028.14/(0.1*0.1*PI()))</f>
        <v>2.7525355571029277E-2</v>
      </c>
      <c r="E25">
        <f t="shared" si="0"/>
        <v>5.0257976628822476E-3</v>
      </c>
      <c r="F25">
        <f t="shared" si="1"/>
        <v>5.3798743709985025E-3</v>
      </c>
    </row>
    <row r="26" spans="1:6">
      <c r="A26" s="1">
        <v>2022</v>
      </c>
      <c r="B26">
        <f>17150/(21028.14/(0.1*0.1*PI()))</f>
        <v>2.5622006515585764E-2</v>
      </c>
      <c r="C26">
        <f>13711/(21028.14/(0.1*0.1*PI()))</f>
        <v>2.0484159261527485E-2</v>
      </c>
      <c r="D26">
        <f>20756/(21028.14/(0.1*0.1*PI()))</f>
        <v>3.1009350859329335E-2</v>
      </c>
      <c r="E26">
        <f t="shared" si="0"/>
        <v>5.1378472540582788E-3</v>
      </c>
      <c r="F26">
        <f t="shared" si="1"/>
        <v>5.3873443437435706E-3</v>
      </c>
    </row>
    <row r="27" spans="1:6">
      <c r="A27" s="1">
        <v>2023</v>
      </c>
      <c r="B27">
        <f>15531/(21028.14/(0.1*0.1*PI()))</f>
        <v>2.3203229340732507E-2</v>
      </c>
      <c r="C27">
        <f>12462/(21028.14/(0.1*0.1*PI()))</f>
        <v>1.8618160069809316E-2</v>
      </c>
      <c r="D27">
        <f>18784/(21028.14/(0.1*0.1*PI()))</f>
        <v>2.8063193608674226E-2</v>
      </c>
      <c r="E27">
        <f t="shared" si="0"/>
        <v>4.5850692709231908E-3</v>
      </c>
      <c r="F27">
        <f t="shared" si="1"/>
        <v>4.8599642679417188E-3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瑋婷 徐</dc:creator>
  <cp:lastModifiedBy>瑋婷 徐</cp:lastModifiedBy>
  <dcterms:created xsi:type="dcterms:W3CDTF">2025-11-10T09:06:18Z</dcterms:created>
  <dcterms:modified xsi:type="dcterms:W3CDTF">2025-11-10T10:04:17Z</dcterms:modified>
</cp:coreProperties>
</file>